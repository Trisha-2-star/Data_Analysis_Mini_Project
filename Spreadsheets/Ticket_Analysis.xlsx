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icket" sheetId="1" r:id="rId1"/>
    <sheet name="feedbac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  <c r="G3" i="1"/>
  <c r="G4" i="1"/>
  <c r="G2" i="1"/>
  <c r="F3" i="1"/>
  <c r="F4" i="1"/>
  <c r="F2" i="1"/>
  <c r="D3" i="2"/>
  <c r="D4" i="2"/>
  <c r="D2" i="2"/>
</calcChain>
</file>

<file path=xl/sharedStrings.xml><?xml version="1.0" encoding="utf-8"?>
<sst xmlns="http://schemas.openxmlformats.org/spreadsheetml/2006/main" count="23" uniqueCount="18">
  <si>
    <t>ticket_id</t>
  </si>
  <si>
    <t>created_at</t>
  </si>
  <si>
    <t>closed_at</t>
  </si>
  <si>
    <t>outlet_id</t>
  </si>
  <si>
    <t>cms_id</t>
  </si>
  <si>
    <t>t1</t>
  </si>
  <si>
    <t>t2</t>
  </si>
  <si>
    <t>t3</t>
  </si>
  <si>
    <t>o1</t>
  </si>
  <si>
    <t>o2</t>
  </si>
  <si>
    <t>c1</t>
  </si>
  <si>
    <t>c2</t>
  </si>
  <si>
    <t>c3</t>
  </si>
  <si>
    <t>feedback_at</t>
  </si>
  <si>
    <t>feedback_rating</t>
  </si>
  <si>
    <t>ticket_created_at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</si>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</sst>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dd\-mm\-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3" sqref="I3"/>
    </sheetView>
  </sheetViews>
  <sheetFormatPr defaultRowHeight="14.4" x14ac:dyDescent="0.3"/>
  <cols>
    <col min="2" max="2" width="17.109375" customWidth="1"/>
    <col min="3" max="3" width="15.44140625" customWidth="1"/>
    <col min="4" max="4" width="12.6640625" customWidth="1"/>
    <col min="7" max="7" width="1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</row>
    <row r="2" spans="1:9" x14ac:dyDescent="0.3">
      <c r="A2" t="s">
        <v>5</v>
      </c>
      <c r="B2" s="1">
        <v>44429.416666666664</v>
      </c>
      <c r="C2" s="3">
        <v>44429.4375</v>
      </c>
      <c r="D2" t="s">
        <v>8</v>
      </c>
      <c r="E2" t="s">
        <v>10</v>
      </c>
      <c r="F2" t="str">
        <f>IF(INT(B2)=INT(C2),"Yes","No")</f>
        <v>Yes</v>
      </c>
      <c r="G2" t="str">
        <f>IF(AND(INT(B2)=INT(C2),HOUR(B2)=HOUR(C2)),"Yes","No")</f>
        <v>Yes</v>
      </c>
      <c r="I2">
        <f>COUNTIF(F:F,"Yes")</f>
        <v>2</v>
      </c>
    </row>
    <row r="3" spans="1:9" x14ac:dyDescent="0.3">
      <c r="A3" t="s">
        <v>6</v>
      </c>
      <c r="B3" s="1">
        <v>44429.458333333336</v>
      </c>
      <c r="C3" s="3">
        <v>44430.5</v>
      </c>
      <c r="D3" t="s">
        <v>9</v>
      </c>
      <c r="E3" t="s">
        <v>11</v>
      </c>
      <c r="F3" t="str">
        <f t="shared" ref="F3:F4" si="0">IF(INT(B3)=INT(C3),"Yes","No")</f>
        <v>No</v>
      </c>
      <c r="G3" t="str">
        <f t="shared" ref="G3:G4" si="1">IF(AND(INT(B3)=INT(C3),HOUR(B3)=HOUR(C3)),"Yes","No")</f>
        <v>No</v>
      </c>
      <c r="I3">
        <f>COUNTIF(G:G,"Yes")</f>
        <v>2</v>
      </c>
    </row>
    <row r="4" spans="1:9" x14ac:dyDescent="0.3">
      <c r="A4" t="s">
        <v>7</v>
      </c>
      <c r="B4" s="1">
        <v>44430.375</v>
      </c>
      <c r="C4" s="1">
        <v>44430.375</v>
      </c>
      <c r="D4" t="s">
        <v>8</v>
      </c>
      <c r="E4" t="s">
        <v>12</v>
      </c>
      <c r="F4" t="str">
        <f t="shared" si="0"/>
        <v>Yes</v>
      </c>
      <c r="G4" t="str">
        <f t="shared" si="1"/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9" sqref="G9"/>
    </sheetView>
  </sheetViews>
  <sheetFormatPr defaultRowHeight="14.4" x14ac:dyDescent="0.3"/>
  <cols>
    <col min="2" max="2" width="24.21875" customWidth="1"/>
    <col min="3" max="3" width="15" customWidth="1"/>
    <col min="4" max="4" width="42.77734375" customWidth="1"/>
  </cols>
  <sheetData>
    <row r="1" spans="1:4" x14ac:dyDescent="0.3">
      <c r="A1" s="2" t="s">
        <v>4</v>
      </c>
      <c r="B1" s="2" t="s">
        <v>13</v>
      </c>
      <c r="C1" t="s">
        <v>14</v>
      </c>
      <c r="D1" t="s">
        <v>15</v>
      </c>
    </row>
    <row r="2" spans="1:4" x14ac:dyDescent="0.3">
      <c r="A2" s="2" t="s">
        <v>10</v>
      </c>
      <c r="B2" s="1">
        <v>44429.458333333336</v>
      </c>
      <c r="C2">
        <v>4</v>
      </c>
      <c r="D2" s="4">
        <f>INDEX(ticket!B:B,MATCH(A2,ticket!E:E,0))</f>
        <v>44429.416666666664</v>
      </c>
    </row>
    <row r="3" spans="1:4" x14ac:dyDescent="0.3">
      <c r="A3" t="s">
        <v>11</v>
      </c>
      <c r="B3" s="1">
        <v>44430.541666666664</v>
      </c>
      <c r="C3">
        <v>3</v>
      </c>
      <c r="D3" s="4">
        <f>INDEX(ticket!B:B,MATCH(A3,ticket!E:E,0))</f>
        <v>44429.458333333336</v>
      </c>
    </row>
    <row r="4" spans="1:4" x14ac:dyDescent="0.3">
      <c r="A4" t="s">
        <v>12</v>
      </c>
      <c r="B4" s="3">
        <v>44430.416666666664</v>
      </c>
      <c r="C4">
        <v>5</v>
      </c>
      <c r="D4" s="4">
        <f>INDEX(ticket!B:B,MATCH(A4,ticket!E:E,0))</f>
        <v>44430.375</v>
      </c>
    </row>
    <row r="5" spans="1:4" x14ac:dyDescent="0.3">
      <c r="B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2026-04-09T11:27:37Z</dcterms:modified>
</cp:coreProperties>
</file>